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ock " sheetId="1" state="visible" r:id="rId3"/>
    <sheet name="Januari" sheetId="2" state="visible" r:id="rId4"/>
  </sheets>
  <definedNames>
    <definedName function="false" hidden="false" name="isi" vbProcedure="false">#REF!</definedName>
    <definedName function="false" hidden="false" name="januari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<sst xmlns="http://schemas.openxmlformats.org/spreadsheetml/2006/main" count="150" uniqueCount="100">
  <si>
    <t xml:space="preserve">PEMBELIAN </t>
  </si>
  <si>
    <t xml:space="preserve">SALES </t>
  </si>
  <si>
    <t xml:space="preserve">Januari </t>
  </si>
  <si>
    <t xml:space="preserve">Februari </t>
  </si>
  <si>
    <t xml:space="preserve">Maret </t>
  </si>
  <si>
    <t xml:space="preserve">April </t>
  </si>
  <si>
    <t xml:space="preserve">Mei </t>
  </si>
  <si>
    <t xml:space="preserve">Juni </t>
  </si>
  <si>
    <t xml:space="preserve">Juli </t>
  </si>
  <si>
    <t xml:space="preserve">Agustus</t>
  </si>
  <si>
    <t xml:space="preserve">September</t>
  </si>
  <si>
    <t xml:space="preserve">October</t>
  </si>
  <si>
    <t xml:space="preserve">November</t>
  </si>
  <si>
    <t xml:space="preserve">December</t>
  </si>
  <si>
    <t xml:space="preserve">Bulan </t>
  </si>
  <si>
    <t xml:space="preserve">Type </t>
  </si>
  <si>
    <t xml:space="preserve">Quantity </t>
  </si>
  <si>
    <t xml:space="preserve">SMT 007 </t>
  </si>
  <si>
    <t xml:space="preserve">SMT 007-S</t>
  </si>
  <si>
    <t xml:space="preserve">HALO</t>
  </si>
  <si>
    <t xml:space="preserve">AS</t>
  </si>
  <si>
    <t xml:space="preserve">By U </t>
  </si>
  <si>
    <t xml:space="preserve">New Protrack 1 Year</t>
  </si>
  <si>
    <t xml:space="preserve">New Tracksolid 1 Year</t>
  </si>
  <si>
    <t xml:space="preserve">New Protrack Lifelong</t>
  </si>
  <si>
    <t xml:space="preserve">New Tracksolid Lifelong</t>
  </si>
  <si>
    <t xml:space="preserve">STOK AWAL (28/12/2025)</t>
  </si>
  <si>
    <t xml:space="preserve">PENJUALAN </t>
  </si>
  <si>
    <t xml:space="preserve">STOK AKHIR </t>
  </si>
  <si>
    <t xml:space="preserve">RESTOK?</t>
  </si>
  <si>
    <t xml:space="preserve">No </t>
  </si>
  <si>
    <t xml:space="preserve">Kirim/Install</t>
  </si>
  <si>
    <t xml:space="preserve">No Transaksi </t>
  </si>
  <si>
    <t xml:space="preserve">Invoice </t>
  </si>
  <si>
    <t xml:space="preserve">New/Old</t>
  </si>
  <si>
    <t xml:space="preserve">Perusahaan </t>
  </si>
  <si>
    <t xml:space="preserve">Tanggal </t>
  </si>
  <si>
    <t xml:space="preserve">Hari </t>
  </si>
  <si>
    <t xml:space="preserve">Jam </t>
  </si>
  <si>
    <t xml:space="preserve">Customer</t>
  </si>
  <si>
    <t xml:space="preserve">Alamat install </t>
  </si>
  <si>
    <t xml:space="preserve">No HP </t>
  </si>
  <si>
    <t xml:space="preserve">Qty unit </t>
  </si>
  <si>
    <t xml:space="preserve">Harga </t>
  </si>
  <si>
    <t xml:space="preserve">WEB </t>
  </si>
  <si>
    <t xml:space="preserve">Qty Web</t>
  </si>
  <si>
    <t xml:space="preserve">Kartu </t>
  </si>
  <si>
    <t xml:space="preserve">Qty kartu</t>
  </si>
  <si>
    <t xml:space="preserve">Paket </t>
  </si>
  <si>
    <t xml:space="preserve">Pulsa </t>
  </si>
  <si>
    <t xml:space="preserve">Teknisi </t>
  </si>
  <si>
    <t xml:space="preserve">Payment </t>
  </si>
  <si>
    <t xml:space="preserve">Catatan</t>
  </si>
  <si>
    <t xml:space="preserve">STOK AWAL </t>
  </si>
  <si>
    <t xml:space="preserve">Ahad</t>
  </si>
  <si>
    <t xml:space="preserve">GPS Non Server</t>
  </si>
  <si>
    <t xml:space="preserve">Install </t>
  </si>
  <si>
    <t xml:space="preserve">001/SMT007/DO/INS-JT/XII/2025</t>
  </si>
  <si>
    <t xml:space="preserve">001/SMT007/DO/INS-JT/XII/2025.pdf</t>
  </si>
  <si>
    <t xml:space="preserve">Old</t>
  </si>
  <si>
    <t xml:space="preserve">PT. Kyodo Utama Indonesia</t>
  </si>
  <si>
    <t xml:space="preserve">Rabu</t>
  </si>
  <si>
    <t xml:space="preserve">10:00</t>
  </si>
  <si>
    <t xml:space="preserve">Bpk Iswandi </t>
  </si>
  <si>
    <t xml:space="preserve">Jl. Raya Desa Cibodas No.7 , Cikopo, Bungursari, Kab. Purwakarta, Jawa Barat 41181</t>
  </si>
  <si>
    <t xml:space="preserve">0818 181 356</t>
  </si>
  <si>
    <t xml:space="preserve">3 bln </t>
  </si>
  <si>
    <t xml:space="preserve">Jubed</t>
  </si>
  <si>
    <t xml:space="preserve">Transfer</t>
  </si>
  <si>
    <t xml:space="preserve">Kirim</t>
  </si>
  <si>
    <t xml:space="preserve">002/SMT007/DO/DVR-JT/XII/2025</t>
  </si>
  <si>
    <t xml:space="preserve">002/SMT007/DO/DVR-JT/XII/2025.pdf</t>
  </si>
  <si>
    <t xml:space="preserve">Selasa </t>
  </si>
  <si>
    <t xml:space="preserve">Bpk Jena Abidin </t>
  </si>
  <si>
    <t xml:space="preserve">Kab. Subang</t>
  </si>
  <si>
    <t xml:space="preserve">0821 2092 2598</t>
  </si>
  <si>
    <t xml:space="preserve">1 bln</t>
  </si>
  <si>
    <t xml:space="preserve">Jasa Kirim</t>
  </si>
  <si>
    <t xml:space="preserve">vt08s 650rb + kartu As 1bln 50rb</t>
  </si>
  <si>
    <t xml:space="preserve">003/SMT007/DO/IST-JT/I/2026</t>
  </si>
  <si>
    <t xml:space="preserve">003/SMT007/DO/IST-JT/I/2026.pdf</t>
  </si>
  <si>
    <t xml:space="preserve">Jum'at</t>
  </si>
  <si>
    <t xml:space="preserve">9:00</t>
  </si>
  <si>
    <t xml:space="preserve">Bpk Is Subhiyadi</t>
  </si>
  <si>
    <t xml:space="preserve">Jl. Jababeka VII Blok L 6&amp;7, Kawasan Industri Jababeka 1 - Cikarang</t>
  </si>
  <si>
    <t xml:space="preserve">0811 1044 830</t>
  </si>
  <si>
    <t xml:space="preserve">2 bulan</t>
  </si>
  <si>
    <t xml:space="preserve">004/SMT007/DO/DVR-JT/I/2026</t>
  </si>
  <si>
    <t xml:space="preserve">Sanita Audio</t>
  </si>
  <si>
    <t xml:space="preserve">Senin</t>
  </si>
  <si>
    <t xml:space="preserve">Bpk. sandi/Sungkono</t>
  </si>
  <si>
    <t xml:space="preserve">Cibubur Point Automotive Center, Lantai Dasar Blok Alter No.11, Jl. Alternatif Cibubur</t>
  </si>
  <si>
    <t xml:space="preserve">0878 8536 3162</t>
  </si>
  <si>
    <t xml:space="preserve">lalamove</t>
  </si>
  <si>
    <t xml:space="preserve">005/SMT007/DO/DVR-JT/I/2026</t>
  </si>
  <si>
    <t xml:space="preserve">Kamis</t>
  </si>
  <si>
    <t xml:space="preserve">006/SMT007/DO/DVR-JT/I/2026</t>
  </si>
  <si>
    <t xml:space="preserve">New</t>
  </si>
  <si>
    <t xml:space="preserve">Bpk Hendrik </t>
  </si>
  <si>
    <t xml:space="preserve">lalamove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</si>
</sst>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\ mmm\ yyyy"/>
    <numFmt numFmtId="167" formatCode="[$Rp]#,##0"/>
    <numFmt numFmtId="168" formatCode="0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u val="single"/>
      <sz val="10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74E13"/>
        <bgColor rgb="FF333333"/>
      </patternFill>
    </fill>
    <fill>
      <patternFill patternType="solid">
        <fgColor rgb="FF0B5394"/>
        <bgColor rgb="FF1155CC"/>
      </patternFill>
    </fill>
    <fill>
      <patternFill patternType="solid">
        <fgColor rgb="FF1155CC"/>
        <bgColor rgb="FF0B5394"/>
      </patternFill>
    </fill>
    <fill>
      <patternFill patternType="solid">
        <fgColor rgb="FFD9D9D9"/>
        <bgColor rgb="FFCC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93C47D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E06666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394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_SMT_007_" displayName="Sales_SMT_007_" ref="A1:Y16" headerRowCount="1" totalsRowCount="0" totalsRowShown="0">
  <tableColumns count="25">
    <tableColumn id="1" name="No "/>
    <tableColumn id="2" name="Kirim/Install"/>
    <tableColumn id="3" name="No Transaksi "/>
    <tableColumn id="4" name="Invoice "/>
    <tableColumn id="5" name="New/Old"/>
    <tableColumn id="6" name="Perusahaan "/>
    <tableColumn id="7" name="Tanggal "/>
    <tableColumn id="8" name="Hari "/>
    <tableColumn id="9" name="Jam "/>
    <tableColumn id="10" name="Customer"/>
    <tableColumn id="11" name="Alamat install "/>
    <tableColumn id="12" name="No HP "/>
    <tableColumn id="13" name="Type "/>
    <tableColumn id="14" name="Qty unit "/>
    <tableColumn id="15" name="SMT 007 "/>
    <tableColumn id="16" name="Harga "/>
    <tableColumn id="17" name="WEB "/>
    <tableColumn id="18" name="Qty Web"/>
    <tableColumn id="19" name="Kartu "/>
    <tableColumn id="20" name="Qty kartu"/>
    <tableColumn id="21" name="Paket "/>
    <tableColumn id="22" name="Pulsa "/>
    <tableColumn id="23" name="Teknisi "/>
    <tableColumn id="24" name="Payment "/>
    <tableColumn id="25" name="Catata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TcZLgpotvLFSAOXxs_1eLxN0am3ocfcr/view?usp=drive_link" TargetMode="External"/><Relationship Id="rId2" Type="http://schemas.openxmlformats.org/officeDocument/2006/relationships/hyperlink" Target="https://drive.google.com/file/d/1kdKSrevbL9dhaA9nm7r1USd8y5CLN8mc/view?usp=drive_link" TargetMode="External"/><Relationship Id="rId3" Type="http://schemas.openxmlformats.org/officeDocument/2006/relationships/hyperlink" Target="https://drive.google.com/file/d/1BxC1ia3FzXMG8EQjuyFUYMCUsedj2sqs/view?usp=drive_link" TargetMode="Externa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R23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9" activeCellId="0" sqref="D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.71"/>
    <col collapsed="false" customWidth="true" hidden="false" outlineLevel="0" max="3" min="3" style="0" width="17.15"/>
    <col collapsed="false" customWidth="true" hidden="false" outlineLevel="0" max="4" min="4" style="0" width="11.57"/>
    <col collapsed="false" customWidth="true" hidden="false" outlineLevel="0" max="5" min="5" style="0" width="11.71"/>
    <col collapsed="false" customWidth="true" hidden="false" outlineLevel="0" max="7" min="7" style="0" width="11.85"/>
    <col collapsed="false" customWidth="true" hidden="false" outlineLevel="0" max="9" min="8" style="0" width="8.43"/>
    <col collapsed="false" customWidth="true" hidden="false" outlineLevel="0" max="10" min="10" style="0" width="10"/>
    <col collapsed="false" customWidth="true" hidden="false" outlineLevel="0" max="11" min="11" style="0" width="11.71"/>
    <col collapsed="false" customWidth="true" hidden="false" outlineLevel="0" max="12" min="12" style="0" width="9.43"/>
    <col collapsed="false" customWidth="true" hidden="false" outlineLevel="0" max="13" min="13" style="0" width="10.57"/>
    <col collapsed="false" customWidth="true" hidden="false" outlineLevel="0" max="14" min="14" style="0" width="9"/>
    <col collapsed="false" customWidth="true" hidden="false" outlineLevel="0" max="15" min="15" style="0" width="2.86"/>
    <col collapsed="false" customWidth="true" hidden="false" outlineLevel="0" max="16" min="16" style="0" width="16.71"/>
    <col collapsed="false" customWidth="true" hidden="false" outlineLevel="0" max="17" min="17" style="0" width="23.71"/>
  </cols>
  <sheetData>
    <row r="1" customFormat="false" ht="15" hidden="false" customHeight="false" outlineLevel="0" collapsed="false">
      <c r="P1" s="1" t="s">
        <v>0</v>
      </c>
    </row>
    <row r="2" customFormat="false" ht="1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P2" s="3" t="s">
        <v>14</v>
      </c>
      <c r="Q2" s="3" t="s">
        <v>15</v>
      </c>
      <c r="R2" s="3" t="s">
        <v>16</v>
      </c>
    </row>
    <row r="3" customFormat="false" ht="15" hidden="false" customHeight="false" outlineLevel="0" collapsed="false">
      <c r="B3" s="4" t="s">
        <v>17</v>
      </c>
      <c r="C3" s="5" t="n">
        <f aca="false">SUMIF(Januari!$M$3:$M$16,B3,Januari!$N$3:$N$16)</f>
        <v>4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P3" s="6"/>
      <c r="Q3" s="6"/>
      <c r="R3" s="6"/>
    </row>
    <row r="4" customFormat="false" ht="15" hidden="false" customHeight="false" outlineLevel="0" collapsed="false">
      <c r="B4" s="4" t="s">
        <v>18</v>
      </c>
      <c r="C4" s="5" t="n">
        <f aca="false">SUMIF(Januari!$M$3:$M$16,B4,Januari!$N$3:$N$16)</f>
        <v>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P4" s="6"/>
      <c r="Q4" s="6"/>
      <c r="R4" s="7"/>
    </row>
    <row r="5" customFormat="false" ht="15" hidden="false" customHeight="false" outlineLevel="0" collapsed="false">
      <c r="B5" s="4" t="s">
        <v>19</v>
      </c>
      <c r="C5" s="5" t="n">
        <f aca="false">SUMIF(Januari!$S$3:$S$16,B5,Januari!$T$3:$T$16)</f>
        <v>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P5" s="6"/>
      <c r="Q5" s="6"/>
      <c r="R5" s="7"/>
    </row>
    <row r="6" customFormat="false" ht="15" hidden="false" customHeight="false" outlineLevel="0" collapsed="false">
      <c r="B6" s="4" t="s">
        <v>20</v>
      </c>
      <c r="C6" s="5" t="n">
        <f aca="false">SUMIF(Januari!$S$3:$S$16,B6,Januari!$T$3:$T$16)</f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P6" s="6"/>
      <c r="Q6" s="6"/>
      <c r="R6" s="7"/>
    </row>
    <row r="7" customFormat="false" ht="15" hidden="false" customHeight="false" outlineLevel="0" collapsed="false">
      <c r="B7" s="4" t="s">
        <v>21</v>
      </c>
      <c r="C7" s="5" t="n">
        <f aca="false">SUMIF(Januari!$S$3:$S$16,B7,Januari!$T$3:$T$16)</f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P7" s="6"/>
      <c r="Q7" s="6"/>
      <c r="R7" s="7"/>
    </row>
    <row r="8" customFormat="false" ht="15" hidden="false" customHeight="false" outlineLevel="0" collapsed="false">
      <c r="B8" s="4" t="s">
        <v>22</v>
      </c>
      <c r="C8" s="5" t="n">
        <f aca="false">SUMIF(Januari!$Q$3:$Q$16,B8,Januari!$R$3:$R$16)</f>
        <v>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P8" s="6"/>
      <c r="Q8" s="6"/>
      <c r="R8" s="7"/>
    </row>
    <row r="9" customFormat="false" ht="15" hidden="false" customHeight="false" outlineLevel="0" collapsed="false">
      <c r="B9" s="4" t="s">
        <v>23</v>
      </c>
      <c r="C9" s="5" t="n">
        <f aca="false">SUMIF(Januari!$Q$3:$Q$16,B9,Januari!$R$3:$R$16)</f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P9" s="6"/>
      <c r="Q9" s="6"/>
      <c r="R9" s="7"/>
    </row>
    <row r="10" customFormat="false" ht="15" hidden="false" customHeight="false" outlineLevel="0" collapsed="false">
      <c r="B10" s="4" t="s">
        <v>24</v>
      </c>
      <c r="C10" s="5" t="n">
        <f aca="false">SUMIF(Januari!$Q$3:$Q$16,B10,Januari!$R$3:$R$16)</f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P10" s="6"/>
      <c r="Q10" s="6"/>
      <c r="R10" s="7"/>
    </row>
    <row r="11" customFormat="false" ht="15" hidden="false" customHeight="false" outlineLevel="0" collapsed="false">
      <c r="B11" s="4" t="s">
        <v>25</v>
      </c>
      <c r="C11" s="5" t="n">
        <f aca="false">SUMIF(Januari!$Q$3:$Q$16,B11,Januari!$R$3:$R$16)</f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P11" s="6"/>
      <c r="Q11" s="6"/>
      <c r="R11" s="7"/>
    </row>
    <row r="12" customFormat="false" ht="15" hidden="false" customHeight="false" outlineLevel="0" collapsed="false">
      <c r="P12" s="6"/>
      <c r="Q12" s="6"/>
      <c r="R12" s="7"/>
    </row>
    <row r="13" customFormat="false" ht="15" hidden="false" customHeight="false" outlineLevel="0" collapsed="false">
      <c r="B13" s="7"/>
      <c r="C13" s="8" t="s">
        <v>26</v>
      </c>
      <c r="D13" s="8" t="s">
        <v>0</v>
      </c>
      <c r="E13" s="8" t="s">
        <v>27</v>
      </c>
      <c r="F13" s="8" t="s">
        <v>28</v>
      </c>
      <c r="G13" s="8" t="s">
        <v>29</v>
      </c>
      <c r="P13" s="6"/>
      <c r="Q13" s="6"/>
      <c r="R13" s="7"/>
    </row>
    <row r="14" customFormat="false" ht="15" hidden="false" customHeight="false" outlineLevel="0" collapsed="false">
      <c r="B14" s="4" t="s">
        <v>17</v>
      </c>
      <c r="C14" s="5" t="n">
        <v>6</v>
      </c>
      <c r="D14" s="5" t="n">
        <f aca="false">SUMIF($Q$3:$Q$23,B14,$R$3:$R$23)</f>
        <v>0</v>
      </c>
      <c r="E14" s="5" t="n">
        <f aca="false">SUM(C3:N3)</f>
        <v>4</v>
      </c>
      <c r="F14" s="5" t="n">
        <f aca="false">C14+D14-E14</f>
        <v>2</v>
      </c>
      <c r="G14" s="9" t="e">
        <f aca="false">ifs(F14&lt;=3,"Restok",AND(F14&gt;=3,F14&lt;=5),"Reminder",F14&gt;=5,"Tidak perlu")</f>
        <v>#NAME?</v>
      </c>
      <c r="P14" s="6"/>
      <c r="Q14" s="6"/>
      <c r="R14" s="7"/>
    </row>
    <row r="15" customFormat="false" ht="15" hidden="false" customHeight="false" outlineLevel="0" collapsed="false">
      <c r="B15" s="4" t="s">
        <v>18</v>
      </c>
      <c r="C15" s="5" t="n">
        <v>32</v>
      </c>
      <c r="D15" s="5" t="n">
        <f aca="false">SUMIF($Q$3:$Q$23,B15,$R$3:$R$23)</f>
        <v>0</v>
      </c>
      <c r="E15" s="5" t="n">
        <f aca="false">SUM(C4:N4)</f>
        <v>3</v>
      </c>
      <c r="F15" s="5" t="n">
        <f aca="false">C15+D15-E15</f>
        <v>29</v>
      </c>
      <c r="G15" s="9" t="e">
        <f aca="false">ifs(F15&lt;=3,"Restok",AND(F15&gt;=3,F15&lt;=5),"Reminder",F15&gt;=5,"Tidak perlu")</f>
        <v>#NAME?</v>
      </c>
      <c r="P15" s="6"/>
      <c r="Q15" s="6"/>
      <c r="R15" s="7"/>
    </row>
    <row r="16" customFormat="false" ht="15" hidden="false" customHeight="false" outlineLevel="0" collapsed="false">
      <c r="B16" s="4" t="s">
        <v>19</v>
      </c>
      <c r="C16" s="5" t="n">
        <v>34</v>
      </c>
      <c r="D16" s="5" t="n">
        <f aca="false">SUMIF($Q$3:$Q$23,B16,$R$3:$R$23)</f>
        <v>0</v>
      </c>
      <c r="E16" s="5" t="n">
        <f aca="false">SUM(C5:N5)</f>
        <v>5</v>
      </c>
      <c r="F16" s="5" t="n">
        <f aca="false">C16+D16-E16</f>
        <v>29</v>
      </c>
      <c r="G16" s="9" t="e">
        <f aca="false">ifs(F16&lt;=3,"Restok",AND(F16&gt;=3,F16&lt;=5),"Reminder",F16&gt;=5,"Tidak perlu")</f>
        <v>#NAME?</v>
      </c>
      <c r="P16" s="6"/>
      <c r="Q16" s="6"/>
      <c r="R16" s="7"/>
    </row>
    <row r="17" customFormat="false" ht="15" hidden="false" customHeight="false" outlineLevel="0" collapsed="false">
      <c r="B17" s="4" t="s">
        <v>20</v>
      </c>
      <c r="C17" s="5" t="n">
        <v>9</v>
      </c>
      <c r="D17" s="5" t="n">
        <f aca="false">SUMIF($Q$3:$Q$23,B17,$R$3:$R$23)</f>
        <v>0</v>
      </c>
      <c r="E17" s="5" t="n">
        <f aca="false">SUM(C6:N6)</f>
        <v>3</v>
      </c>
      <c r="F17" s="5" t="n">
        <f aca="false">C17+D17-E17</f>
        <v>6</v>
      </c>
      <c r="G17" s="9" t="e">
        <f aca="false">ifs(F17&lt;=3,"Restok",AND(F17&gt;=3,F17&lt;=5),"Reminder",F17&gt;=5,"Tidak perlu")</f>
        <v>#NAME?</v>
      </c>
      <c r="P17" s="6"/>
      <c r="Q17" s="6"/>
      <c r="R17" s="7"/>
    </row>
    <row r="18" customFormat="false" ht="15" hidden="false" customHeight="false" outlineLevel="0" collapsed="false">
      <c r="B18" s="4" t="s">
        <v>21</v>
      </c>
      <c r="C18" s="5" t="n">
        <v>3</v>
      </c>
      <c r="D18" s="5" t="n">
        <f aca="false">SUMIF($Q$3:$Q$23,B18,$R$3:$R$23)</f>
        <v>0</v>
      </c>
      <c r="E18" s="5" t="n">
        <f aca="false">SUM(C7:N7)</f>
        <v>0</v>
      </c>
      <c r="F18" s="5" t="n">
        <f aca="false">C18+D18-E18</f>
        <v>3</v>
      </c>
      <c r="G18" s="9" t="e">
        <f aca="false">ifs(F18&lt;=3,"Restok",AND(F18&gt;=3,F18&lt;=5),"Reminder",F18&gt;=5,"Tidak perlu")</f>
        <v>#NAME?</v>
      </c>
      <c r="P18" s="6"/>
      <c r="Q18" s="6"/>
      <c r="R18" s="7"/>
    </row>
    <row r="19" customFormat="false" ht="15" hidden="false" customHeight="false" outlineLevel="0" collapsed="false">
      <c r="B19" s="4" t="s">
        <v>22</v>
      </c>
      <c r="C19" s="5"/>
      <c r="D19" s="5" t="n">
        <f aca="false">SUMIF($Q$3:$Q$23,B19,$R$3:$R$23)</f>
        <v>0</v>
      </c>
      <c r="E19" s="5" t="n">
        <f aca="false">SUM(C8:N8)</f>
        <v>7</v>
      </c>
      <c r="F19" s="5" t="n">
        <f aca="false">C19+D19-E19</f>
        <v>-7</v>
      </c>
      <c r="G19" s="9" t="e">
        <f aca="false">ifs(F19&lt;=3,"Restok",AND(F19&gt;=3,F19&lt;=5),"Reminder",F19&gt;=5,"Tidak perlu")</f>
        <v>#NAME?</v>
      </c>
      <c r="P19" s="6"/>
      <c r="Q19" s="6"/>
      <c r="R19" s="7"/>
    </row>
    <row r="20" customFormat="false" ht="15" hidden="false" customHeight="false" outlineLevel="0" collapsed="false">
      <c r="B20" s="4" t="s">
        <v>23</v>
      </c>
      <c r="C20" s="5"/>
      <c r="D20" s="5" t="n">
        <f aca="false">SUMIF($Q$3:$Q$23,B20,$R$3:$R$23)</f>
        <v>0</v>
      </c>
      <c r="E20" s="5" t="n">
        <f aca="false">SUM(C9:N9)</f>
        <v>0</v>
      </c>
      <c r="F20" s="5" t="n">
        <f aca="false">C20+D20-E20</f>
        <v>0</v>
      </c>
      <c r="G20" s="9" t="e">
        <f aca="false">ifs(F20&lt;=3,"Restok",AND(F20&gt;=3,F20&lt;=5),"Reminder",F20&gt;=5,"Tidak perlu")</f>
        <v>#NAME?</v>
      </c>
      <c r="P20" s="6"/>
      <c r="Q20" s="6"/>
      <c r="R20" s="7"/>
    </row>
    <row r="21" customFormat="false" ht="15" hidden="false" customHeight="false" outlineLevel="0" collapsed="false">
      <c r="B21" s="4" t="s">
        <v>24</v>
      </c>
      <c r="C21" s="5"/>
      <c r="D21" s="5" t="n">
        <f aca="false">SUMIF($Q$3:$Q$23,B21,$R$3:$R$23)</f>
        <v>0</v>
      </c>
      <c r="E21" s="5" t="n">
        <f aca="false">SUM(C10:N10)</f>
        <v>0</v>
      </c>
      <c r="F21" s="5" t="n">
        <f aca="false">C21+D21-E21</f>
        <v>0</v>
      </c>
      <c r="G21" s="9" t="e">
        <f aca="false">ifs(F21&lt;=3,"Restok",AND(F21&gt;=3,F21&lt;=5),"Reminder",F21&gt;=5,"Tidak perlu")</f>
        <v>#NAME?</v>
      </c>
      <c r="P21" s="6"/>
      <c r="Q21" s="6"/>
      <c r="R21" s="7"/>
    </row>
    <row r="22" customFormat="false" ht="15" hidden="false" customHeight="false" outlineLevel="0" collapsed="false">
      <c r="B22" s="4" t="s">
        <v>25</v>
      </c>
      <c r="C22" s="5"/>
      <c r="D22" s="5" t="n">
        <f aca="false">SUMIF($Q$3:$Q$23,B22,$R$3:$R$23)</f>
        <v>0</v>
      </c>
      <c r="E22" s="5" t="n">
        <f aca="false">SUM(C11:N11)</f>
        <v>0</v>
      </c>
      <c r="F22" s="5" t="n">
        <f aca="false">C22+D22-E22</f>
        <v>0</v>
      </c>
      <c r="G22" s="9" t="e">
        <f aca="false">ifs(F22&lt;=3,"Restok",AND(F22&gt;=3,F22&lt;=5),"Reminder",F22&gt;=5,"Tidak perlu")</f>
        <v>#NAME?</v>
      </c>
      <c r="P22" s="6"/>
      <c r="Q22" s="6"/>
      <c r="R22" s="7"/>
    </row>
    <row r="23" customFormat="false" ht="15" hidden="false" customHeight="false" outlineLevel="0" collapsed="false">
      <c r="P23" s="6"/>
      <c r="Q23" s="6"/>
      <c r="R23" s="7"/>
    </row>
  </sheetData>
  <conditionalFormatting sqref="G14:G22">
    <cfRule type="containsText" priority="2" operator="containsText" aboveAverage="0" equalAverage="0" bottom="0" percent="0" rank="0" text="Tidak perlu" dxfId="0">
      <formula>NOT(ISERROR(SEARCH("Tidak perlu",G14)))</formula>
    </cfRule>
  </conditionalFormatting>
  <conditionalFormatting sqref="G14:G22">
    <cfRule type="containsText" priority="3" operator="containsText" aboveAverage="0" equalAverage="0" bottom="0" percent="0" rank="0" text="Restok" dxfId="1">
      <formula>NOT(ISERROR(SEARCH("Restok",G14)))</formula>
    </cfRule>
  </conditionalFormatting>
  <conditionalFormatting sqref="G14:G22">
    <cfRule type="containsText" priority="4" operator="containsText" aboveAverage="0" equalAverage="0" bottom="0" percent="0" rank="0" text="Reminder" dxfId="2">
      <formula>NOT(ISERROR(SEARCH("Reminder",G14)))</formula>
    </cfRule>
  </conditionalFormatting>
  <dataValidations count="2">
    <dataValidation allowBlank="true" errorStyle="stop" operator="between" showDropDown="false" showErrorMessage="true" showInputMessage="false" sqref="Q3:Q23" type="list">
      <formula1>"SMT 007 ,SMT 007-S,HALO,AS,By U ,New Protrack 1 Year,New Tracksolid 1 Year,New Protrack Lifelong,New Tracksolid Lifelong"</formula1>
      <formula2>0</formula2>
    </dataValidation>
    <dataValidation allowBlank="true" errorStyle="stop" operator="between" showDropDown="false" showErrorMessage="true" showInputMessage="false" sqref="P3:P23" type="list">
      <formula1>"Januari ,Februari ,Maret ,April,Mei,Juni,Juli,Agustus,September,Oktober,November,Desember"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R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M2" activeCellId="0" sqref="M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0.43"/>
    <col collapsed="false" customWidth="true" hidden="false" outlineLevel="0" max="3" min="3" style="0" width="18.57"/>
    <col collapsed="false" customWidth="true" hidden="false" outlineLevel="0" max="4" min="4" style="0" width="11.43"/>
    <col collapsed="false" customWidth="true" hidden="false" outlineLevel="0" max="5" min="5" style="0" width="11.71"/>
    <col collapsed="false" customWidth="true" hidden="false" outlineLevel="0" max="6" min="6" style="0" width="15.71"/>
    <col collapsed="false" customWidth="true" hidden="false" outlineLevel="0" max="7" min="7" style="0" width="13.71"/>
    <col collapsed="false" customWidth="true" hidden="false" outlineLevel="0" max="8" min="8" style="0" width="8.86"/>
    <col collapsed="false" customWidth="true" hidden="false" outlineLevel="0" max="9" min="9" style="0" width="10"/>
    <col collapsed="false" customWidth="true" hidden="false" outlineLevel="0" max="12" min="10" style="0" width="17.29"/>
    <col collapsed="false" customWidth="true" hidden="false" outlineLevel="0" max="13" min="13" style="0" width="20.14"/>
    <col collapsed="false" customWidth="true" hidden="false" outlineLevel="0" max="14" min="14" style="0" width="9.86"/>
    <col collapsed="false" customWidth="true" hidden="false" outlineLevel="0" max="15" min="15" style="0" width="11.57"/>
    <col collapsed="false" customWidth="true" hidden="false" outlineLevel="0" max="16" min="16" style="0" width="15.14"/>
    <col collapsed="false" customWidth="true" hidden="false" outlineLevel="0" max="17" min="17" style="0" width="20.14"/>
    <col collapsed="false" customWidth="true" hidden="false" outlineLevel="0" max="18" min="18" style="0" width="9.14"/>
    <col collapsed="false" customWidth="true" hidden="false" outlineLevel="0" max="19" min="19" style="0" width="15.14"/>
    <col collapsed="false" customWidth="true" hidden="false" outlineLevel="0" max="20" min="20" style="0" width="11"/>
    <col collapsed="false" customWidth="true" hidden="false" outlineLevel="0" max="21" min="21" style="0" width="10.29"/>
    <col collapsed="false" customWidth="true" hidden="false" outlineLevel="0" max="22" min="22" style="0" width="12.86"/>
    <col collapsed="false" customWidth="true" hidden="false" outlineLevel="0" max="23" min="23" style="0" width="20.14"/>
    <col collapsed="false" customWidth="true" hidden="false" outlineLevel="0" max="24" min="24" style="0" width="15.29"/>
    <col collapsed="false" customWidth="true" hidden="false" outlineLevel="0" max="25" min="25" style="0" width="17.29"/>
  </cols>
  <sheetData>
    <row r="1" customFormat="false" ht="22.5" hidden="false" customHeight="true" outlineLevel="0" collapsed="false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15</v>
      </c>
      <c r="N1" s="10" t="s">
        <v>42</v>
      </c>
      <c r="O1" s="10" t="s">
        <v>17</v>
      </c>
      <c r="P1" s="10" t="s">
        <v>43</v>
      </c>
      <c r="Q1" s="10" t="s">
        <v>44</v>
      </c>
      <c r="R1" s="10" t="s">
        <v>45</v>
      </c>
      <c r="S1" s="10" t="s">
        <v>46</v>
      </c>
      <c r="T1" s="11" t="s">
        <v>47</v>
      </c>
      <c r="U1" s="10" t="s">
        <v>48</v>
      </c>
      <c r="V1" s="10" t="s">
        <v>49</v>
      </c>
      <c r="W1" s="10" t="s">
        <v>50</v>
      </c>
      <c r="X1" s="10" t="s">
        <v>51</v>
      </c>
      <c r="Y1" s="10" t="s">
        <v>52</v>
      </c>
    </row>
    <row r="2" customFormat="false" ht="22.5" hidden="false" customHeight="true" outlineLevel="0" collapsed="false">
      <c r="A2" s="12"/>
      <c r="B2" s="12"/>
      <c r="C2" s="13" t="s">
        <v>53</v>
      </c>
      <c r="D2" s="13"/>
      <c r="E2" s="12"/>
      <c r="F2" s="13"/>
      <c r="G2" s="14" t="n">
        <v>46019</v>
      </c>
      <c r="H2" s="13" t="s">
        <v>54</v>
      </c>
      <c r="I2" s="13"/>
      <c r="J2" s="13" t="s">
        <v>55</v>
      </c>
      <c r="K2" s="13"/>
      <c r="L2" s="13"/>
      <c r="M2" s="12"/>
      <c r="N2" s="12"/>
      <c r="O2" s="12" t="n">
        <v>38</v>
      </c>
      <c r="P2" s="15"/>
      <c r="Q2" s="12"/>
      <c r="R2" s="12"/>
      <c r="S2" s="12"/>
      <c r="T2" s="16"/>
      <c r="U2" s="17"/>
      <c r="V2" s="12"/>
      <c r="W2" s="12"/>
      <c r="X2" s="12"/>
      <c r="Y2" s="13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customFormat="false" ht="22.5" hidden="false" customHeight="true" outlineLevel="0" collapsed="false">
      <c r="A3" s="19" t="n">
        <v>1</v>
      </c>
      <c r="B3" s="19" t="s">
        <v>56</v>
      </c>
      <c r="C3" s="20" t="s">
        <v>57</v>
      </c>
      <c r="D3" s="21" t="s">
        <v>58</v>
      </c>
      <c r="E3" s="19" t="s">
        <v>59</v>
      </c>
      <c r="F3" s="20" t="s">
        <v>60</v>
      </c>
      <c r="G3" s="22" t="n">
        <v>46022</v>
      </c>
      <c r="H3" s="20" t="s">
        <v>61</v>
      </c>
      <c r="I3" s="20" t="s">
        <v>62</v>
      </c>
      <c r="J3" s="20" t="s">
        <v>63</v>
      </c>
      <c r="K3" s="20" t="s">
        <v>64</v>
      </c>
      <c r="L3" s="20" t="s">
        <v>65</v>
      </c>
      <c r="M3" s="19" t="s">
        <v>17</v>
      </c>
      <c r="N3" s="19" t="n">
        <v>1</v>
      </c>
      <c r="O3" s="19" t="n">
        <f aca="false">O2-N3</f>
        <v>37</v>
      </c>
      <c r="P3" s="23" t="n">
        <v>1100000</v>
      </c>
      <c r="Q3" s="19" t="s">
        <v>22</v>
      </c>
      <c r="R3" s="24" t="n">
        <v>1</v>
      </c>
      <c r="S3" s="19" t="s">
        <v>19</v>
      </c>
      <c r="T3" s="24" t="n">
        <v>1</v>
      </c>
      <c r="U3" s="25" t="s">
        <v>66</v>
      </c>
      <c r="V3" s="19" t="str">
        <f aca="false">S3 &amp; " " &amp; U3</f>
        <v>HALO 3 bln </v>
      </c>
      <c r="W3" s="19" t="s">
        <v>67</v>
      </c>
      <c r="X3" s="19" t="s">
        <v>68</v>
      </c>
      <c r="Y3" s="20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</row>
    <row r="4" customFormat="false" ht="22.5" hidden="false" customHeight="true" outlineLevel="0" collapsed="false">
      <c r="A4" s="19" t="n">
        <f aca="false">A3+1</f>
        <v>2</v>
      </c>
      <c r="B4" s="19" t="s">
        <v>69</v>
      </c>
      <c r="C4" s="20" t="s">
        <v>70</v>
      </c>
      <c r="D4" s="21" t="s">
        <v>71</v>
      </c>
      <c r="E4" s="19" t="s">
        <v>59</v>
      </c>
      <c r="F4" s="20"/>
      <c r="G4" s="22" t="n">
        <v>46021</v>
      </c>
      <c r="H4" s="20" t="s">
        <v>72</v>
      </c>
      <c r="I4" s="20"/>
      <c r="J4" s="20" t="s">
        <v>73</v>
      </c>
      <c r="K4" s="20" t="s">
        <v>74</v>
      </c>
      <c r="L4" s="20" t="s">
        <v>75</v>
      </c>
      <c r="M4" s="19" t="s">
        <v>18</v>
      </c>
      <c r="N4" s="19" t="n">
        <v>3</v>
      </c>
      <c r="O4" s="19" t="n">
        <f aca="false">O3-N4</f>
        <v>34</v>
      </c>
      <c r="P4" s="23" t="n">
        <v>2100000</v>
      </c>
      <c r="Q4" s="19" t="s">
        <v>22</v>
      </c>
      <c r="R4" s="24" t="n">
        <v>3</v>
      </c>
      <c r="S4" s="19" t="s">
        <v>20</v>
      </c>
      <c r="T4" s="24" t="n">
        <v>3</v>
      </c>
      <c r="U4" s="25" t="s">
        <v>76</v>
      </c>
      <c r="V4" s="19" t="str">
        <f aca="false">S4 &amp; " " &amp; U4</f>
        <v>AS 1 bln</v>
      </c>
      <c r="W4" s="19" t="s">
        <v>77</v>
      </c>
      <c r="X4" s="19" t="s">
        <v>68</v>
      </c>
      <c r="Y4" s="20" t="s">
        <v>78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customFormat="false" ht="22.5" hidden="false" customHeight="true" outlineLevel="0" collapsed="false">
      <c r="A5" s="19" t="n">
        <f aca="false">A4+1</f>
        <v>3</v>
      </c>
      <c r="B5" s="19" t="s">
        <v>56</v>
      </c>
      <c r="C5" s="20" t="s">
        <v>79</v>
      </c>
      <c r="D5" s="21" t="s">
        <v>80</v>
      </c>
      <c r="E5" s="19" t="s">
        <v>59</v>
      </c>
      <c r="F5" s="20"/>
      <c r="G5" s="22" t="n">
        <v>46024</v>
      </c>
      <c r="H5" s="20" t="s">
        <v>81</v>
      </c>
      <c r="I5" s="20" t="s">
        <v>82</v>
      </c>
      <c r="J5" s="20" t="s">
        <v>83</v>
      </c>
      <c r="K5" s="20" t="s">
        <v>84</v>
      </c>
      <c r="L5" s="20" t="s">
        <v>85</v>
      </c>
      <c r="M5" s="19" t="s">
        <v>17</v>
      </c>
      <c r="N5" s="19" t="n">
        <v>1</v>
      </c>
      <c r="O5" s="19" t="n">
        <f aca="false">O4-N5</f>
        <v>33</v>
      </c>
      <c r="P5" s="23" t="n">
        <v>1100000</v>
      </c>
      <c r="Q5" s="19" t="s">
        <v>22</v>
      </c>
      <c r="R5" s="24" t="n">
        <v>1</v>
      </c>
      <c r="S5" s="19" t="s">
        <v>19</v>
      </c>
      <c r="T5" s="24" t="n">
        <v>1</v>
      </c>
      <c r="U5" s="25" t="s">
        <v>86</v>
      </c>
      <c r="V5" s="19" t="str">
        <f aca="false">S5 &amp; " " &amp; U5</f>
        <v>HALO 2 bulan</v>
      </c>
      <c r="W5" s="19" t="s">
        <v>67</v>
      </c>
      <c r="X5" s="19" t="s">
        <v>68</v>
      </c>
      <c r="Y5" s="20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</row>
    <row r="6" customFormat="false" ht="22.5" hidden="false" customHeight="true" outlineLevel="0" collapsed="false">
      <c r="A6" s="19" t="n">
        <f aca="false">A5+1</f>
        <v>4</v>
      </c>
      <c r="B6" s="19" t="s">
        <v>69</v>
      </c>
      <c r="C6" s="20" t="s">
        <v>87</v>
      </c>
      <c r="D6" s="20"/>
      <c r="E6" s="19" t="s">
        <v>59</v>
      </c>
      <c r="F6" s="20" t="s">
        <v>88</v>
      </c>
      <c r="G6" s="22" t="n">
        <v>46027</v>
      </c>
      <c r="H6" s="20" t="s">
        <v>89</v>
      </c>
      <c r="I6" s="20"/>
      <c r="J6" s="20" t="s">
        <v>90</v>
      </c>
      <c r="K6" s="20" t="s">
        <v>91</v>
      </c>
      <c r="L6" s="20" t="s">
        <v>92</v>
      </c>
      <c r="M6" s="19" t="s">
        <v>17</v>
      </c>
      <c r="N6" s="19" t="n">
        <v>1</v>
      </c>
      <c r="O6" s="19" t="n">
        <f aca="false">O5-N6</f>
        <v>32</v>
      </c>
      <c r="P6" s="23" t="n">
        <v>800000</v>
      </c>
      <c r="Q6" s="19" t="s">
        <v>22</v>
      </c>
      <c r="R6" s="24" t="n">
        <v>1</v>
      </c>
      <c r="S6" s="19" t="s">
        <v>19</v>
      </c>
      <c r="T6" s="24" t="n">
        <v>1</v>
      </c>
      <c r="U6" s="25" t="s">
        <v>76</v>
      </c>
      <c r="V6" s="19" t="str">
        <f aca="false">S6 &amp; " " &amp; U6</f>
        <v>HALO 1 bln</v>
      </c>
      <c r="W6" s="19" t="s">
        <v>77</v>
      </c>
      <c r="X6" s="19" t="s">
        <v>68</v>
      </c>
      <c r="Y6" s="20" t="s">
        <v>93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</row>
    <row r="7" customFormat="false" ht="22.5" hidden="false" customHeight="true" outlineLevel="0" collapsed="false">
      <c r="A7" s="19" t="n">
        <f aca="false">A6+1</f>
        <v>5</v>
      </c>
      <c r="B7" s="19" t="s">
        <v>69</v>
      </c>
      <c r="C7" s="20" t="s">
        <v>94</v>
      </c>
      <c r="D7" s="20"/>
      <c r="E7" s="19" t="s">
        <v>59</v>
      </c>
      <c r="F7" s="20" t="s">
        <v>88</v>
      </c>
      <c r="G7" s="22" t="n">
        <v>46030</v>
      </c>
      <c r="H7" s="20" t="s">
        <v>95</v>
      </c>
      <c r="I7" s="20"/>
      <c r="J7" s="20" t="s">
        <v>90</v>
      </c>
      <c r="K7" s="20"/>
      <c r="L7" s="20"/>
      <c r="M7" s="19" t="s">
        <v>17</v>
      </c>
      <c r="N7" s="19" t="n">
        <v>1</v>
      </c>
      <c r="O7" s="19" t="n">
        <f aca="false">O6-N7</f>
        <v>31</v>
      </c>
      <c r="P7" s="23" t="n">
        <v>800000</v>
      </c>
      <c r="Q7" s="19" t="s">
        <v>22</v>
      </c>
      <c r="R7" s="24" t="n">
        <v>1</v>
      </c>
      <c r="S7" s="19" t="s">
        <v>19</v>
      </c>
      <c r="T7" s="24" t="n">
        <v>1</v>
      </c>
      <c r="U7" s="25" t="s">
        <v>76</v>
      </c>
      <c r="V7" s="19" t="str">
        <f aca="false">S7 &amp; " " &amp; U7</f>
        <v>HALO 1 bln</v>
      </c>
      <c r="W7" s="19" t="s">
        <v>77</v>
      </c>
      <c r="X7" s="19"/>
      <c r="Y7" s="20" t="s">
        <v>93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</row>
    <row r="8" customFormat="false" ht="22.5" hidden="false" customHeight="true" outlineLevel="0" collapsed="false">
      <c r="A8" s="19" t="n">
        <f aca="false">A7+1</f>
        <v>6</v>
      </c>
      <c r="B8" s="19" t="s">
        <v>69</v>
      </c>
      <c r="C8" s="20" t="s">
        <v>96</v>
      </c>
      <c r="D8" s="20"/>
      <c r="E8" s="19" t="s">
        <v>97</v>
      </c>
      <c r="F8" s="20"/>
      <c r="G8" s="22"/>
      <c r="H8" s="20"/>
      <c r="I8" s="20"/>
      <c r="J8" s="20" t="s">
        <v>98</v>
      </c>
      <c r="K8" s="20"/>
      <c r="L8" s="20"/>
      <c r="M8" s="19"/>
      <c r="N8" s="19"/>
      <c r="O8" s="19" t="n">
        <f aca="false">O7-N8</f>
        <v>31</v>
      </c>
      <c r="P8" s="23"/>
      <c r="Q8" s="19"/>
      <c r="R8" s="24"/>
      <c r="S8" s="19" t="s">
        <v>19</v>
      </c>
      <c r="T8" s="24" t="n">
        <v>1</v>
      </c>
      <c r="U8" s="25" t="s">
        <v>76</v>
      </c>
      <c r="V8" s="19" t="str">
        <f aca="false">S8 &amp; " " &amp; U8</f>
        <v>HALO 1 bln</v>
      </c>
      <c r="W8" s="19" t="s">
        <v>77</v>
      </c>
      <c r="X8" s="19" t="s">
        <v>68</v>
      </c>
      <c r="Y8" s="20" t="s">
        <v>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</row>
    <row r="9" customFormat="false" ht="22.5" hidden="false" customHeight="true" outlineLevel="0" collapsed="false">
      <c r="A9" s="19" t="n">
        <f aca="false">A8+1</f>
        <v>7</v>
      </c>
      <c r="B9" s="19"/>
      <c r="C9" s="20"/>
      <c r="D9" s="20"/>
      <c r="E9" s="19"/>
      <c r="F9" s="20"/>
      <c r="G9" s="22"/>
      <c r="H9" s="20"/>
      <c r="I9" s="20"/>
      <c r="J9" s="20"/>
      <c r="K9" s="20"/>
      <c r="L9" s="20"/>
      <c r="M9" s="19"/>
      <c r="N9" s="19"/>
      <c r="O9" s="19" t="n">
        <f aca="false">O8-N9</f>
        <v>31</v>
      </c>
      <c r="P9" s="23"/>
      <c r="Q9" s="19"/>
      <c r="R9" s="24"/>
      <c r="S9" s="19"/>
      <c r="T9" s="24"/>
      <c r="U9" s="25"/>
      <c r="V9" s="19" t="str">
        <f aca="false">S9 &amp; " " &amp; U9</f>
        <v> </v>
      </c>
      <c r="W9" s="19"/>
      <c r="X9" s="19"/>
      <c r="Y9" s="20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</row>
    <row r="10" customFormat="false" ht="22.5" hidden="false" customHeight="true" outlineLevel="0" collapsed="false">
      <c r="A10" s="19" t="n">
        <f aca="false">A9+1</f>
        <v>8</v>
      </c>
      <c r="B10" s="19"/>
      <c r="C10" s="20"/>
      <c r="D10" s="20"/>
      <c r="E10" s="19"/>
      <c r="F10" s="20"/>
      <c r="G10" s="22"/>
      <c r="H10" s="20"/>
      <c r="I10" s="20"/>
      <c r="J10" s="20"/>
      <c r="K10" s="20"/>
      <c r="L10" s="20"/>
      <c r="M10" s="19"/>
      <c r="N10" s="19"/>
      <c r="O10" s="19" t="n">
        <f aca="false">O9-N10</f>
        <v>31</v>
      </c>
      <c r="P10" s="23"/>
      <c r="Q10" s="19"/>
      <c r="R10" s="24"/>
      <c r="S10" s="19"/>
      <c r="T10" s="24"/>
      <c r="U10" s="25"/>
      <c r="V10" s="19" t="str">
        <f aca="false">S10 &amp; " " &amp; U10</f>
        <v> </v>
      </c>
      <c r="W10" s="19"/>
      <c r="X10" s="19"/>
      <c r="Y10" s="20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</row>
    <row r="11" customFormat="false" ht="22.5" hidden="false" customHeight="true" outlineLevel="0" collapsed="false">
      <c r="A11" s="19" t="n">
        <f aca="false">A10+1</f>
        <v>9</v>
      </c>
      <c r="B11" s="19"/>
      <c r="C11" s="20"/>
      <c r="D11" s="20"/>
      <c r="E11" s="19"/>
      <c r="F11" s="20"/>
      <c r="G11" s="22"/>
      <c r="H11" s="20"/>
      <c r="I11" s="20"/>
      <c r="J11" s="20"/>
      <c r="K11" s="20"/>
      <c r="L11" s="20"/>
      <c r="M11" s="19"/>
      <c r="N11" s="19"/>
      <c r="O11" s="19" t="n">
        <f aca="false">O10-N11</f>
        <v>31</v>
      </c>
      <c r="P11" s="23"/>
      <c r="Q11" s="19"/>
      <c r="R11" s="24"/>
      <c r="S11" s="19"/>
      <c r="T11" s="24"/>
      <c r="U11" s="25"/>
      <c r="V11" s="19" t="str">
        <f aca="false">S11 &amp; " " &amp; U11</f>
        <v> </v>
      </c>
      <c r="W11" s="19"/>
      <c r="X11" s="19"/>
      <c r="Y11" s="20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</row>
    <row r="12" customFormat="false" ht="22.5" hidden="false" customHeight="true" outlineLevel="0" collapsed="false">
      <c r="A12" s="19" t="n">
        <f aca="false">A11+1</f>
        <v>10</v>
      </c>
      <c r="B12" s="19"/>
      <c r="C12" s="20"/>
      <c r="D12" s="20"/>
      <c r="E12" s="19"/>
      <c r="F12" s="20"/>
      <c r="G12" s="22"/>
      <c r="H12" s="20"/>
      <c r="I12" s="20"/>
      <c r="J12" s="20"/>
      <c r="K12" s="20"/>
      <c r="L12" s="20"/>
      <c r="M12" s="19"/>
      <c r="N12" s="19"/>
      <c r="O12" s="19" t="n">
        <f aca="false">O11-N12</f>
        <v>31</v>
      </c>
      <c r="P12" s="23"/>
      <c r="Q12" s="19"/>
      <c r="R12" s="24"/>
      <c r="S12" s="19"/>
      <c r="T12" s="24"/>
      <c r="U12" s="25"/>
      <c r="V12" s="19" t="str">
        <f aca="false">S12 &amp; " " &amp; U12</f>
        <v> </v>
      </c>
      <c r="W12" s="19"/>
      <c r="X12" s="19"/>
      <c r="Y12" s="20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</row>
    <row r="13" customFormat="false" ht="22.5" hidden="false" customHeight="true" outlineLevel="0" collapsed="false">
      <c r="A13" s="19" t="n">
        <f aca="false">A12+1</f>
        <v>11</v>
      </c>
      <c r="B13" s="19"/>
      <c r="C13" s="20"/>
      <c r="D13" s="20"/>
      <c r="E13" s="19"/>
      <c r="F13" s="20"/>
      <c r="G13" s="22"/>
      <c r="H13" s="20"/>
      <c r="I13" s="20"/>
      <c r="J13" s="20"/>
      <c r="K13" s="20"/>
      <c r="L13" s="20"/>
      <c r="M13" s="19"/>
      <c r="N13" s="19"/>
      <c r="O13" s="19" t="n">
        <f aca="false">O12-N13</f>
        <v>31</v>
      </c>
      <c r="P13" s="23"/>
      <c r="Q13" s="19"/>
      <c r="R13" s="24"/>
      <c r="S13" s="19"/>
      <c r="T13" s="24"/>
      <c r="U13" s="25"/>
      <c r="V13" s="19" t="str">
        <f aca="false">S13 &amp; " " &amp; U13</f>
        <v> </v>
      </c>
      <c r="W13" s="19"/>
      <c r="X13" s="19"/>
      <c r="Y13" s="20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</row>
    <row r="14" customFormat="false" ht="22.5" hidden="false" customHeight="true" outlineLevel="0" collapsed="false">
      <c r="A14" s="19" t="n">
        <f aca="false">A13+1</f>
        <v>12</v>
      </c>
      <c r="B14" s="19"/>
      <c r="C14" s="20"/>
      <c r="D14" s="20"/>
      <c r="E14" s="19"/>
      <c r="F14" s="20"/>
      <c r="G14" s="22"/>
      <c r="H14" s="20"/>
      <c r="I14" s="20"/>
      <c r="J14" s="20"/>
      <c r="K14" s="20"/>
      <c r="L14" s="20"/>
      <c r="M14" s="19"/>
      <c r="N14" s="19"/>
      <c r="O14" s="19" t="n">
        <f aca="false">O13-N14</f>
        <v>31</v>
      </c>
      <c r="P14" s="23"/>
      <c r="Q14" s="19"/>
      <c r="R14" s="24"/>
      <c r="S14" s="19"/>
      <c r="T14" s="24"/>
      <c r="U14" s="25"/>
      <c r="V14" s="19" t="str">
        <f aca="false">S14 &amp; " " &amp; U14</f>
        <v> </v>
      </c>
      <c r="W14" s="19"/>
      <c r="X14" s="19"/>
      <c r="Y14" s="20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22.5" hidden="false" customHeight="true" outlineLevel="0" collapsed="false">
      <c r="A15" s="19" t="n">
        <f aca="false">A14+1</f>
        <v>13</v>
      </c>
      <c r="B15" s="19"/>
      <c r="C15" s="20"/>
      <c r="D15" s="20"/>
      <c r="E15" s="19"/>
      <c r="F15" s="20"/>
      <c r="G15" s="22"/>
      <c r="H15" s="20"/>
      <c r="I15" s="20"/>
      <c r="J15" s="20"/>
      <c r="K15" s="20"/>
      <c r="L15" s="20"/>
      <c r="M15" s="19"/>
      <c r="N15" s="19"/>
      <c r="O15" s="19" t="n">
        <f aca="false">O14-N15</f>
        <v>31</v>
      </c>
      <c r="P15" s="23"/>
      <c r="Q15" s="19"/>
      <c r="R15" s="24"/>
      <c r="S15" s="19"/>
      <c r="T15" s="24"/>
      <c r="U15" s="25"/>
      <c r="V15" s="19" t="str">
        <f aca="false">S15 &amp; " " &amp; U15</f>
        <v> </v>
      </c>
      <c r="W15" s="19"/>
      <c r="X15" s="19"/>
      <c r="Y15" s="20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22.5" hidden="false" customHeight="true" outlineLevel="0" collapsed="false">
      <c r="A16" s="19" t="n">
        <f aca="false">A15+1</f>
        <v>14</v>
      </c>
      <c r="B16" s="19"/>
      <c r="C16" s="20"/>
      <c r="D16" s="20"/>
      <c r="E16" s="19"/>
      <c r="F16" s="20"/>
      <c r="G16" s="22"/>
      <c r="H16" s="20"/>
      <c r="I16" s="20"/>
      <c r="J16" s="20"/>
      <c r="K16" s="20"/>
      <c r="L16" s="20"/>
      <c r="M16" s="19"/>
      <c r="N16" s="19"/>
      <c r="O16" s="19" t="n">
        <f aca="false">O15-N16</f>
        <v>31</v>
      </c>
      <c r="P16" s="23"/>
      <c r="Q16" s="19"/>
      <c r="R16" s="24"/>
      <c r="S16" s="19"/>
      <c r="T16" s="24"/>
      <c r="U16" s="25"/>
      <c r="V16" s="19" t="str">
        <f aca="false">S16 &amp; " " &amp; U16</f>
        <v> </v>
      </c>
      <c r="W16" s="19"/>
      <c r="X16" s="19"/>
      <c r="Y16" s="20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</sheetData>
  <conditionalFormatting sqref="G1:I1">
    <cfRule type="colorScale" priority="2">
      <colorScale>
        <cfvo type="min" val="0"/>
        <cfvo type="max" val="0"/>
        <color rgb="FFFFFFFF"/>
        <color rgb="FF57BB8A"/>
      </colorScale>
    </cfRule>
  </conditionalFormatting>
  <dataValidations count="12">
    <dataValidation allowBlank="true" errorStyle="stop" operator="between" showDropDown="false" showErrorMessage="false" showInputMessage="false" sqref="E2:E16" type="list">
      <formula1>"New,Old"</formula1>
      <formula2>0</formula2>
    </dataValidation>
    <dataValidation allowBlank="true" errorStyle="stop" operator="between" showDropDown="false" showErrorMessage="false" showInputMessage="false" sqref="S2:S16" type="list">
      <formula1>"AS,HALO,By U "</formula1>
      <formula2>0</formula2>
    </dataValidation>
    <dataValidation allowBlank="true" errorStyle="stop" operator="between" showDropDown="true" showErrorMessage="false" showInputMessage="false" sqref="F2:F16 H2:H16 K2:L16" type="none">
      <formula1>0</formula1>
      <formula2>0</formula2>
    </dataValidation>
    <dataValidation allowBlank="true" errorStyle="stop" operator="between" showDropDown="false" showErrorMessage="false" showInputMessage="false" sqref="W2:W16" type="list">
      <formula1>"Jubed,Daffa ,Jasa Kirim"</formula1>
      <formula2>0</formula2>
    </dataValidation>
    <dataValidation allowBlank="true" errorStyle="stop" operator="between" showDropDown="false" showErrorMessage="false" showInputMessage="false" sqref="X2:X16" type="list">
      <formula1>"COD,Transfer"</formula1>
      <formula2>0</formula2>
    </dataValidation>
    <dataValidation allowBlank="true" errorStyle="stop" operator="between" showDropDown="true" showErrorMessage="false" showInputMessage="false" sqref="A2:A16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false" showInputMessage="false" sqref="G2:G16" type="custom">
      <formula1>OR(NOT(ISERROR(DATEVALUE(G2))), AND(ISNUMBER(G2), LEFT(CELL("format", G2))="D"))</formula1>
      <formula2>0</formula2>
    </dataValidation>
    <dataValidation allowBlank="true" errorStyle="stop" operator="between" showDropDown="true" showErrorMessage="false" showInputMessage="false" sqref="C2:C16 I2:J16 Y2:Y16" type="none">
      <formula1>0</formula1>
      <formula2>0</formula2>
    </dataValidation>
    <dataValidation allowBlank="true" errorStyle="stop" operator="between" showDropDown="false" showErrorMessage="false" showInputMessage="false" sqref="M2:M16" type="list">
      <formula1>"SMT 007 ,SMT 007-S"</formula1>
      <formula2>0</formula2>
    </dataValidation>
    <dataValidation allowBlank="true" errorStyle="stop" operator="between" showDropDown="true" showErrorMessage="false" showInputMessage="false" sqref="N2:N16 P2:P16" type="custom">
      <formula1>AND(ISNUMBER(N2),(NOT(OR(NOT(ISERROR(DATEVALUE(N2))), AND(ISNUMBER(N2), LEFT(CELL("format", N2))="D")))))</formula1>
      <formula2>0</formula2>
    </dataValidation>
    <dataValidation allowBlank="true" errorStyle="stop" operator="between" showDropDown="false" showErrorMessage="false" showInputMessage="false" sqref="B2:B16" type="list">
      <formula1>"Install ,Kirim"</formula1>
      <formula2>0</formula2>
    </dataValidation>
    <dataValidation allowBlank="true" errorStyle="stop" operator="between" showDropDown="false" showErrorMessage="false" showInputMessage="false" sqref="Q2:Q16" type="list">
      <formula1>"New Protrack 1 Year,New Tracksolid 1 Year,New Protrack Lifelong,New Tracksolid Lifelong"</formula1>
      <formula2>0</formula2>
    </dataValidation>
  </dataValidations>
  <hyperlinks>
    <hyperlink ref="D3" r:id="rId1" display="001/SMT007/DO/INS-JT/XII/2025.pdf"/>
    <hyperlink ref="D4" r:id="rId2" display="002/SMT007/DO/DVR-JT/XII/2025.pdf"/>
    <hyperlink ref="D5" r:id="rId3" display="003/SMT007/DO/IST-JT/I/2026.pdf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dcterms:modified xsi:type="dcterms:W3CDTF">2026-01-12T16:54:32Z</dcterms:modified>
  <cp:revision>1</cp:revision>
  <dc:subject/>
  <dc:title/>
</cp:coreProperties>
</file>